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s\Arduino\Proyectos\Motor Diesel\"/>
    </mc:Choice>
  </mc:AlternateContent>
  <xr:revisionPtr revIDLastSave="0" documentId="13_ncr:1_{1A40DC9D-7BB8-475D-AC71-F5A6308A7990}" xr6:coauthVersionLast="47" xr6:coauthVersionMax="47" xr10:uidLastSave="{00000000-0000-0000-0000-000000000000}"/>
  <bookViews>
    <workbookView xWindow="-120" yWindow="-120" windowWidth="29040" windowHeight="15840" xr2:uid="{EBFF7989-F77D-422E-A09B-2462B2247934}"/>
  </bookViews>
  <sheets>
    <sheet name="Calculos Sensores" sheetId="1" r:id="rId1"/>
    <sheet name="Costes" sheetId="2" r:id="rId2"/>
    <sheet name="Hoja2" sheetId="4" r:id="rId3"/>
    <sheet name="Coste App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26" i="2" l="1"/>
  <c r="K1" i="2" s="1"/>
  <c r="T28" i="2"/>
  <c r="W28" i="2" s="1"/>
  <c r="W1" i="2" s="1"/>
  <c r="K27" i="2"/>
  <c r="W29" i="2"/>
  <c r="T29" i="2"/>
  <c r="H27" i="2"/>
  <c r="H26" i="2"/>
  <c r="W24" i="2"/>
  <c r="W25" i="2"/>
  <c r="W26" i="2"/>
  <c r="W19" i="2"/>
  <c r="W27" i="2"/>
  <c r="T23" i="2"/>
  <c r="W23" i="2" s="1"/>
  <c r="W22" i="2"/>
  <c r="W21" i="2"/>
  <c r="W20" i="2"/>
  <c r="W18" i="2"/>
  <c r="T17" i="2"/>
  <c r="W17" i="2" s="1"/>
  <c r="T16" i="2"/>
  <c r="W16" i="2" s="1"/>
  <c r="T15" i="2"/>
  <c r="W15" i="2" s="1"/>
  <c r="T14" i="2"/>
  <c r="W14" i="2" s="1"/>
  <c r="T13" i="2"/>
  <c r="W13" i="2" s="1"/>
  <c r="T12" i="2"/>
  <c r="W12" i="2" s="1"/>
  <c r="W11" i="2"/>
  <c r="T11" i="2"/>
  <c r="T10" i="2"/>
  <c r="W10" i="2" s="1"/>
  <c r="U9" i="2"/>
  <c r="T9" i="2" s="1"/>
  <c r="W9" i="2" s="1"/>
  <c r="U8" i="2"/>
  <c r="T8" i="2" s="1"/>
  <c r="W8" i="2" s="1"/>
  <c r="T7" i="2"/>
  <c r="W7" i="2" s="1"/>
  <c r="T6" i="2"/>
  <c r="W6" i="2" s="1"/>
  <c r="T5" i="2"/>
  <c r="W5" i="2" s="1"/>
  <c r="T4" i="2"/>
  <c r="W4" i="2" s="1"/>
  <c r="T3" i="2"/>
  <c r="W3" i="2" s="1"/>
  <c r="K22" i="2"/>
  <c r="K23" i="2"/>
  <c r="K24" i="2"/>
  <c r="K25" i="2"/>
  <c r="H21" i="2"/>
  <c r="K21" i="2" s="1"/>
  <c r="K20" i="2"/>
  <c r="K17" i="2"/>
  <c r="K18" i="2"/>
  <c r="K19" i="2"/>
  <c r="H16" i="2"/>
  <c r="K16" i="2" s="1"/>
  <c r="H15" i="2"/>
  <c r="K15" i="2" s="1"/>
  <c r="H14" i="2"/>
  <c r="K14" i="2" s="1"/>
  <c r="H13" i="2"/>
  <c r="K13" i="2" s="1"/>
  <c r="H12" i="2"/>
  <c r="K12" i="2" s="1"/>
  <c r="H11" i="2"/>
  <c r="K11" i="2" s="1"/>
  <c r="H10" i="2"/>
  <c r="K10" i="2" s="1"/>
  <c r="H9" i="2"/>
  <c r="K9" i="2" s="1"/>
  <c r="I8" i="2"/>
  <c r="H8" i="2" s="1"/>
  <c r="K8" i="2" s="1"/>
  <c r="I7" i="2"/>
  <c r="H7" i="2" s="1"/>
  <c r="K7" i="2" s="1"/>
  <c r="H6" i="2"/>
  <c r="K6" i="2" s="1"/>
  <c r="H5" i="2"/>
  <c r="K5" i="2" s="1"/>
  <c r="H4" i="2"/>
  <c r="K4" i="2" s="1"/>
  <c r="H3" i="2"/>
  <c r="K3" i="2" s="1"/>
  <c r="N4" i="1"/>
  <c r="J10" i="3"/>
  <c r="J8" i="3"/>
  <c r="J7" i="3"/>
  <c r="J6" i="3"/>
  <c r="J5" i="3"/>
  <c r="J4" i="3"/>
  <c r="D9" i="3"/>
  <c r="D5" i="3"/>
  <c r="D6" i="3"/>
  <c r="D7" i="3"/>
  <c r="D8" i="3"/>
  <c r="D4" i="3"/>
  <c r="J9" i="3" l="1"/>
  <c r="E31" i="1"/>
  <c r="F8" i="1"/>
  <c r="D6" i="1"/>
  <c r="E29" i="1" l="1"/>
  <c r="D31" i="1"/>
  <c r="D29" i="1"/>
  <c r="C26" i="1"/>
  <c r="E20" i="1" l="1"/>
  <c r="D20" i="1"/>
  <c r="D17" i="1"/>
  <c r="G9" i="1" l="1"/>
  <c r="H7" i="1" l="1"/>
  <c r="I8" i="1" s="1"/>
  <c r="G8" i="1" s="1"/>
  <c r="H8" i="1"/>
  <c r="D19" i="1"/>
  <c r="C19" i="1"/>
</calcChain>
</file>

<file path=xl/sharedStrings.xml><?xml version="1.0" encoding="utf-8"?>
<sst xmlns="http://schemas.openxmlformats.org/spreadsheetml/2006/main" count="266" uniqueCount="128">
  <si>
    <t>R1</t>
  </si>
  <si>
    <t>R2</t>
  </si>
  <si>
    <t>Vi</t>
  </si>
  <si>
    <t>Vo</t>
  </si>
  <si>
    <t>Sensor Voltaje</t>
  </si>
  <si>
    <t>Sensor Presion</t>
  </si>
  <si>
    <t>Lineal</t>
  </si>
  <si>
    <t>Categoría</t>
  </si>
  <si>
    <t>Min</t>
  </si>
  <si>
    <t>Max</t>
  </si>
  <si>
    <t>PSI</t>
  </si>
  <si>
    <t>AnalogRead</t>
  </si>
  <si>
    <t>mV/bit</t>
  </si>
  <si>
    <t>Vin=((AnalogRead(A0)*5)/1023)/(R2/(R1+R2)). R1=22K. R2=4.7K</t>
  </si>
  <si>
    <t>Vin</t>
  </si>
  <si>
    <t>Motor Limpia</t>
  </si>
  <si>
    <t>Total</t>
  </si>
  <si>
    <t>LM2596</t>
  </si>
  <si>
    <t>D1</t>
  </si>
  <si>
    <t>Caja Estanca</t>
  </si>
  <si>
    <t>Horas Trabajo</t>
  </si>
  <si>
    <t>BAR</t>
  </si>
  <si>
    <t>Presion=AnalogRead(A7)*5000*0.0031/1023</t>
  </si>
  <si>
    <t>Instalación</t>
  </si>
  <si>
    <t>Widget</t>
  </si>
  <si>
    <t>Button</t>
  </si>
  <si>
    <t>Led</t>
  </si>
  <si>
    <t>Timer</t>
  </si>
  <si>
    <t>SuperChart</t>
  </si>
  <si>
    <t>ValueDisplay</t>
  </si>
  <si>
    <t>N</t>
  </si>
  <si>
    <t>Energy</t>
  </si>
  <si>
    <t>PCB1</t>
  </si>
  <si>
    <t>Gauge</t>
  </si>
  <si>
    <t>A Read</t>
  </si>
  <si>
    <t>ID</t>
  </si>
  <si>
    <t>Name</t>
  </si>
  <si>
    <t>Designator</t>
  </si>
  <si>
    <t>Quantity</t>
  </si>
  <si>
    <t>Manufacturer Part</t>
  </si>
  <si>
    <t>Manufacturer</t>
  </si>
  <si>
    <t>Supplier</t>
  </si>
  <si>
    <t>Supplier Part</t>
  </si>
  <si>
    <t>EasyEDA</t>
  </si>
  <si>
    <t>LM1117T-3.3/NOPB</t>
  </si>
  <si>
    <t>U4</t>
  </si>
  <si>
    <t>Texas Instruments</t>
  </si>
  <si>
    <t>LCSC</t>
  </si>
  <si>
    <t>C201726</t>
  </si>
  <si>
    <t>10uF</t>
  </si>
  <si>
    <t>C2,C1</t>
  </si>
  <si>
    <t>10uF 16V 3*5</t>
  </si>
  <si>
    <t>ValuePro</t>
  </si>
  <si>
    <t>C43798</t>
  </si>
  <si>
    <t>1N5819</t>
  </si>
  <si>
    <t>D3</t>
  </si>
  <si>
    <t>STMicroelectronics</t>
  </si>
  <si>
    <t>C110032</t>
  </si>
  <si>
    <t>FH1</t>
  </si>
  <si>
    <t>Littelfuse</t>
  </si>
  <si>
    <t>C206887</t>
  </si>
  <si>
    <t>4CHANRELAY</t>
  </si>
  <si>
    <t>U2</t>
  </si>
  <si>
    <t>4 Relays Module</t>
  </si>
  <si>
    <t>ARDUINO_NANO</t>
  </si>
  <si>
    <t>U1</t>
  </si>
  <si>
    <t>RJ45</t>
  </si>
  <si>
    <t>RJ1,RJ2</t>
  </si>
  <si>
    <t>E36373</t>
  </si>
  <si>
    <t>RFM95</t>
  </si>
  <si>
    <t>U3</t>
  </si>
  <si>
    <t>RFM98-433S2</t>
  </si>
  <si>
    <t>HopeRF Micro-electronics</t>
  </si>
  <si>
    <t>C171661</t>
  </si>
  <si>
    <t>HDR-M-2.54_1x1</t>
  </si>
  <si>
    <t>C81276</t>
  </si>
  <si>
    <t>CON-HIROSE-COAXIAL-U.FL</t>
  </si>
  <si>
    <t>J22</t>
  </si>
  <si>
    <t>1N4007-E3/73</t>
  </si>
  <si>
    <t>Vishay Intertech</t>
  </si>
  <si>
    <t>C466973</t>
  </si>
  <si>
    <t>22k</t>
  </si>
  <si>
    <t>R1,R5</t>
  </si>
  <si>
    <t>4k7</t>
  </si>
  <si>
    <t>R2,R3</t>
  </si>
  <si>
    <t>FASTON</t>
  </si>
  <si>
    <t>ST2,ST3,ST4,ST1,ST9,ST10,ST11,ST12,ST13,ST14,ST16,ST17</t>
  </si>
  <si>
    <t>62409-1</t>
  </si>
  <si>
    <t>AMP-TE</t>
  </si>
  <si>
    <t>Element14</t>
  </si>
  <si>
    <t>REG1</t>
  </si>
  <si>
    <t>SIM800L</t>
  </si>
  <si>
    <t>U</t>
  </si>
  <si>
    <t>Fuse</t>
  </si>
  <si>
    <t>ST2,ST3,ST4,ST1,ST9,ST10,ST11,ST12,ST13,ST14,ST16,ST17,ST5,ST6,ST7,ST8</t>
  </si>
  <si>
    <t>J1,J2,J3,J4,J5,J6,J7,J8,J9,J10,J11,J12,J13,J14,J15,J16,J17,J18,J19,J20,J21,J23,J24</t>
  </si>
  <si>
    <t>Price/Unit</t>
  </si>
  <si>
    <t>Minimal Order</t>
  </si>
  <si>
    <t>Price Order</t>
  </si>
  <si>
    <t>Total Cost</t>
  </si>
  <si>
    <t>RS</t>
  </si>
  <si>
    <t>Amazon</t>
  </si>
  <si>
    <t>https://www.amazon.es/gp/product/B01H2D2RXA/ref=ppx_yo_dt_b_asin_title_o07_s00?ie=UTF8&amp;psc=1</t>
  </si>
  <si>
    <t>https://www.amazon.es/gp/product/B072LPHG92/ref=ppx_yo_dt_b_asin_title_o03_s01?ie=UTF8&amp;psc=1</t>
  </si>
  <si>
    <t>https://www.amazon.es/gp/product/B00TX2OS1I/ref=ppx_yo_dt_b_asin_title_o07_s00?ie=UTF8&amp;psc=1</t>
  </si>
  <si>
    <t>HDR-M-2.54</t>
  </si>
  <si>
    <t>https://www.amazon.es/gp/product/B078SQ1CZF/ref=ppx_yo_dt_b_asin_title_o09_s00?ie=UTF8&amp;th=1</t>
  </si>
  <si>
    <t>HDR-F-2.54</t>
  </si>
  <si>
    <t>https://www.amazon.es/gp/product/B081JN6F63/ref=ppx_yo_dt_b_asin_title_o03_s00?ie=UTF8&amp;psc=1</t>
  </si>
  <si>
    <t>https://www.amazon.es/gp/product/B084JBLFPQ/ref=ppx_yo_dt_b_asin_title_o03_s00?ie=UTF8&amp;psc=1</t>
  </si>
  <si>
    <t>Switch</t>
  </si>
  <si>
    <t>https://www.amazon.es/gp/product/B08CY6PSP8/ref=ppx_yo_dt_b_asin_title_o00_s00?ie=UTF8&amp;psc=1</t>
  </si>
  <si>
    <t>Pressure Sensor</t>
  </si>
  <si>
    <t>https://www.amazon.es/gp/product/B0748CVN3F/ref=ppx_yo_dt_b_asin_title_o01_s00?ie=UTF8&amp;psc=1</t>
  </si>
  <si>
    <t>Wires</t>
  </si>
  <si>
    <t>PCB</t>
  </si>
  <si>
    <t>JLCPCB</t>
  </si>
  <si>
    <t>Comisión</t>
  </si>
  <si>
    <t>Blynk App Energy</t>
  </si>
  <si>
    <t>Sim Card</t>
  </si>
  <si>
    <t>Tuenti</t>
  </si>
  <si>
    <t>PCB1&amp;2</t>
  </si>
  <si>
    <t>PCB2</t>
  </si>
  <si>
    <t>Electroválvula</t>
  </si>
  <si>
    <t>Electrovalvula</t>
  </si>
  <si>
    <t>Sensor Nivel</t>
  </si>
  <si>
    <t>https://www.amazon.es/dp/B01NBIOI65/ref=sspa_dk_detail_1?psc=1&amp;pd_rd_i=B01NBIOI65&amp;pd_rd_w=bZzmF&amp;pf_rd_p=af12bbbd-c74b-4d8c-ad16-2ed2a7b363ab&amp;pd_rd_wg=7HDSR&amp;pf_rd_r=EACBXYBF9CD7Y98Y2NES&amp;pd_rd_r=05aee186-6ae9-425f-a1e4-50685eddc4a5&amp;spLa=ZW5jcnlwdGVkUXVhbGlmaWVyPUExNEdITlRUWlJBRUcwJmVuY3J5cHRlZElkPUEwOTE5NTY0MjhVTVNXUzc0T1VLWiZlbmNyeXB0ZWRBZElkPUEwNjQ3MTI0MkdDUjVFUUVONTQ1TSZ3aWRnZXROYW1lPXNwX2RldGFpbCZhY3Rpb249Y2xpY2tSZWRpcmVjdCZkb05vdExvZ0NsaWNrPXRydWU=</t>
  </si>
  <si>
    <t>Voltaje (mV)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</si>
</sst>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sz val="9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Sensor Presion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8418328958880135"/>
                  <c:y val="-4.246463983668707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ES"/>
                </a:p>
              </c:txPr>
            </c:trendlineLbl>
          </c:trendline>
          <c:xVal>
            <c:numRef>
              <c:f>'Calculos Sensores'!$E$15:$E$17</c:f>
              <c:numCache>
                <c:formatCode>General</c:formatCode>
                <c:ptCount val="3"/>
                <c:pt idx="0">
                  <c:v>0</c:v>
                </c:pt>
                <c:pt idx="2">
                  <c:v>5000</c:v>
                </c:pt>
              </c:numCache>
            </c:numRef>
          </c:xVal>
          <c:yVal>
            <c:numRef>
              <c:f>'Calculos Sensores'!$D$15:$D$17</c:f>
              <c:numCache>
                <c:formatCode>General</c:formatCode>
                <c:ptCount val="3"/>
                <c:pt idx="0">
                  <c:v>0</c:v>
                </c:pt>
                <c:pt idx="1">
                  <c:v>1.01325</c:v>
                </c:pt>
                <c:pt idx="2">
                  <c:v>13.789489650988017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0E-4507-AC8A-4CAD245474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860144"/>
        <c:axId val="1205651712"/>
      </c:scatterChart>
      <c:valAx>
        <c:axId val="1272860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05651712"/>
        <c:crosses val="autoZero"/>
        <c:crossBetween val="midCat"/>
      </c:valAx>
      <c:valAx>
        <c:axId val="1205651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2728601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257175</xdr:colOff>
      <xdr:row>12</xdr:row>
      <xdr:rowOff>128587</xdr:rowOff>
    </xdr:from>
    <xdr:to>
      <xdr:col>12</xdr:col>
      <xdr:colOff>257175</xdr:colOff>
      <xdr:row>28</xdr:row>
      <xdr:rowOff>14287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D0B69A-784B-4D33-986B-081BEEAD0E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E972B-DA68-44E2-88C7-3F8EA694C650}">
  <dimension ref="B2:N31"/>
  <sheetViews>
    <sheetView tabSelected="1" topLeftCell="B1" workbookViewId="0">
      <selection activeCell="D24" sqref="D24"/>
    </sheetView>
  </sheetViews>
  <sheetFormatPr baseColWidth="10" defaultRowHeight="15" x14ac:dyDescent="0.25"/>
  <sheetData>
    <row r="2" spans="2:14" x14ac:dyDescent="0.25">
      <c r="L2" t="s">
        <v>34</v>
      </c>
      <c r="M2" t="s">
        <v>3</v>
      </c>
      <c r="N2" t="s">
        <v>2</v>
      </c>
    </row>
    <row r="3" spans="2:14" x14ac:dyDescent="0.25">
      <c r="B3" t="s">
        <v>4</v>
      </c>
      <c r="L3">
        <v>0</v>
      </c>
      <c r="M3">
        <v>0</v>
      </c>
      <c r="N3">
        <v>0</v>
      </c>
    </row>
    <row r="4" spans="2:14" x14ac:dyDescent="0.25">
      <c r="C4" t="s">
        <v>0</v>
      </c>
      <c r="D4">
        <v>22000</v>
      </c>
      <c r="L4">
        <v>1023</v>
      </c>
      <c r="M4">
        <v>5</v>
      </c>
      <c r="N4">
        <f>((L4*5)/1023)/(D5/(D4+D5))</f>
        <v>28.404255319148934</v>
      </c>
    </row>
    <row r="5" spans="2:14" x14ac:dyDescent="0.25">
      <c r="C5" t="s">
        <v>1</v>
      </c>
      <c r="D5">
        <v>4700</v>
      </c>
    </row>
    <row r="6" spans="2:14" x14ac:dyDescent="0.25">
      <c r="C6" t="s">
        <v>2</v>
      </c>
      <c r="D6">
        <f>D7*(D5+D4)/D5</f>
        <v>12.015000000000002</v>
      </c>
    </row>
    <row r="7" spans="2:14" x14ac:dyDescent="0.25">
      <c r="C7" t="s">
        <v>3</v>
      </c>
      <c r="D7">
        <v>2.1150000000000002</v>
      </c>
      <c r="H7">
        <f>5*(D5+D4)</f>
        <v>133500</v>
      </c>
    </row>
    <row r="8" spans="2:14" x14ac:dyDescent="0.25">
      <c r="C8" t="s">
        <v>11</v>
      </c>
      <c r="D8">
        <v>435</v>
      </c>
      <c r="E8" t="s">
        <v>14</v>
      </c>
      <c r="F8">
        <f>D8*5*(D4+D5)/(1023*D5)</f>
        <v>12.078055780869782</v>
      </c>
      <c r="G8">
        <f>D8*I8</f>
        <v>12.078055780869782</v>
      </c>
      <c r="H8">
        <f>1023*4700</f>
        <v>4808100</v>
      </c>
      <c r="I8">
        <f>H7/H8</f>
        <v>2.7765645473263868E-2</v>
      </c>
    </row>
    <row r="9" spans="2:14" x14ac:dyDescent="0.25">
      <c r="B9" t="s">
        <v>13</v>
      </c>
      <c r="G9">
        <f>D8*I9</f>
        <v>12.0495</v>
      </c>
      <c r="I9">
        <v>2.7699999999999999E-2</v>
      </c>
    </row>
    <row r="11" spans="2:14" x14ac:dyDescent="0.25">
      <c r="B11" t="s">
        <v>5</v>
      </c>
    </row>
    <row r="12" spans="2:14" x14ac:dyDescent="0.25">
      <c r="B12" t="s">
        <v>7</v>
      </c>
      <c r="C12" t="s">
        <v>6</v>
      </c>
    </row>
    <row r="14" spans="2:14" x14ac:dyDescent="0.25">
      <c r="C14" t="s">
        <v>10</v>
      </c>
      <c r="D14" t="s">
        <v>21</v>
      </c>
      <c r="E14" t="s">
        <v>127</v>
      </c>
    </row>
    <row r="15" spans="2:14" x14ac:dyDescent="0.25">
      <c r="B15" t="s">
        <v>8</v>
      </c>
      <c r="C15">
        <v>0</v>
      </c>
      <c r="D15">
        <v>0</v>
      </c>
      <c r="E15">
        <v>0</v>
      </c>
      <c r="F15">
        <v>0</v>
      </c>
    </row>
    <row r="16" spans="2:14" x14ac:dyDescent="0.25">
      <c r="D16">
        <v>1.01325</v>
      </c>
    </row>
    <row r="17" spans="2:6" x14ac:dyDescent="0.25">
      <c r="B17" t="s">
        <v>9</v>
      </c>
      <c r="C17">
        <v>200</v>
      </c>
      <c r="D17">
        <f>C17/14.5038</f>
        <v>13.789489650988017</v>
      </c>
      <c r="E17">
        <v>5000</v>
      </c>
      <c r="F17">
        <v>1023</v>
      </c>
    </row>
    <row r="19" spans="2:6" x14ac:dyDescent="0.25">
      <c r="B19" t="s">
        <v>12</v>
      </c>
      <c r="C19">
        <f>5000/1023</f>
        <v>4.8875855327468232</v>
      </c>
      <c r="D19">
        <f>900*5000/1023</f>
        <v>4398.8269794721409</v>
      </c>
    </row>
    <row r="20" spans="2:6" x14ac:dyDescent="0.25">
      <c r="D20">
        <f>5000*0.0031/1023</f>
        <v>1.5151515151515152E-2</v>
      </c>
      <c r="E20">
        <f>920.7*D20</f>
        <v>13.950000000000001</v>
      </c>
    </row>
    <row r="21" spans="2:6" x14ac:dyDescent="0.25">
      <c r="B21" t="s">
        <v>22</v>
      </c>
    </row>
    <row r="26" spans="2:6" x14ac:dyDescent="0.25">
      <c r="C26">
        <f>5000*0.0031/1023</f>
        <v>1.5151515151515152E-2</v>
      </c>
    </row>
    <row r="29" spans="2:6" x14ac:dyDescent="0.25">
      <c r="D29">
        <f>1/0.0031</f>
        <v>322.58064516129031</v>
      </c>
      <c r="E29">
        <f>D29/D31</f>
        <v>66</v>
      </c>
    </row>
    <row r="31" spans="2:6" x14ac:dyDescent="0.25">
      <c r="D31">
        <f>5000/1023</f>
        <v>4.8875855327468232</v>
      </c>
      <c r="E31">
        <f>E29*5000*0.0031/1023</f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35284-1EB0-49E7-BEE6-644D05DA90B8}">
  <dimension ref="A1:W29"/>
  <sheetViews>
    <sheetView workbookViewId="0">
      <selection activeCell="A27" sqref="A27"/>
    </sheetView>
  </sheetViews>
  <sheetFormatPr baseColWidth="10" defaultRowHeight="15" x14ac:dyDescent="0.25"/>
  <cols>
    <col min="2" max="2" width="14.140625" bestFit="1" customWidth="1"/>
    <col min="3" max="3" width="8.85546875" bestFit="1" customWidth="1"/>
    <col min="4" max="4" width="13.28515625" bestFit="1" customWidth="1"/>
    <col min="5" max="5" width="13.5703125" bestFit="1" customWidth="1"/>
    <col min="29" max="29" width="15.85546875" bestFit="1" customWidth="1"/>
  </cols>
  <sheetData>
    <row r="1" spans="1:23" x14ac:dyDescent="0.25">
      <c r="A1" t="s">
        <v>32</v>
      </c>
      <c r="K1" s="1">
        <f>SUM(K3:K27)</f>
        <v>415.02898547619048</v>
      </c>
      <c r="M1" t="s">
        <v>121</v>
      </c>
      <c r="W1" s="1">
        <f>SUM(W3:W29)</f>
        <v>519.55408345238095</v>
      </c>
    </row>
    <row r="2" spans="1:23" x14ac:dyDescent="0.2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41</v>
      </c>
      <c r="G2" t="s">
        <v>42</v>
      </c>
      <c r="H2" t="s">
        <v>96</v>
      </c>
      <c r="I2" t="s">
        <v>97</v>
      </c>
      <c r="J2" t="s">
        <v>98</v>
      </c>
      <c r="K2" t="s">
        <v>99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 t="s">
        <v>41</v>
      </c>
      <c r="S2" t="s">
        <v>42</v>
      </c>
      <c r="T2" t="s">
        <v>96</v>
      </c>
      <c r="U2" t="s">
        <v>97</v>
      </c>
      <c r="V2" t="s">
        <v>98</v>
      </c>
      <c r="W2" t="s">
        <v>99</v>
      </c>
    </row>
    <row r="3" spans="1:23" x14ac:dyDescent="0.25">
      <c r="A3">
        <v>1</v>
      </c>
      <c r="B3" t="s">
        <v>54</v>
      </c>
      <c r="C3" t="s">
        <v>55</v>
      </c>
      <c r="D3">
        <v>1</v>
      </c>
      <c r="E3" t="s">
        <v>54</v>
      </c>
      <c r="H3" s="3">
        <f t="shared" ref="H3" si="0">J3/I3</f>
        <v>7.9899999999999999E-2</v>
      </c>
      <c r="I3">
        <v>100</v>
      </c>
      <c r="J3">
        <v>7.99</v>
      </c>
      <c r="K3" s="1">
        <f>D3*H3</f>
        <v>7.9899999999999999E-2</v>
      </c>
      <c r="M3">
        <v>1</v>
      </c>
      <c r="N3" t="s">
        <v>54</v>
      </c>
      <c r="O3" t="s">
        <v>55</v>
      </c>
      <c r="P3">
        <v>1</v>
      </c>
      <c r="Q3" t="s">
        <v>54</v>
      </c>
      <c r="T3">
        <f t="shared" ref="T3" si="1">V3/U3</f>
        <v>7.9899999999999999E-2</v>
      </c>
      <c r="U3">
        <v>100</v>
      </c>
      <c r="V3">
        <v>7.99</v>
      </c>
      <c r="W3" s="1">
        <f>P3*T3</f>
        <v>7.9899999999999999E-2</v>
      </c>
    </row>
    <row r="4" spans="1:23" x14ac:dyDescent="0.25">
      <c r="A4">
        <v>2</v>
      </c>
      <c r="B4" t="s">
        <v>93</v>
      </c>
      <c r="C4" t="s">
        <v>58</v>
      </c>
      <c r="D4">
        <v>1</v>
      </c>
      <c r="F4" t="s">
        <v>100</v>
      </c>
      <c r="G4" s="2">
        <v>417098</v>
      </c>
      <c r="H4" s="3">
        <f>J4/I4</f>
        <v>1.3880000000000001</v>
      </c>
      <c r="I4">
        <v>5</v>
      </c>
      <c r="J4" s="2">
        <v>6.94</v>
      </c>
      <c r="K4" s="1">
        <f t="shared" ref="K4:K6" si="2">D4*H4</f>
        <v>1.3880000000000001</v>
      </c>
      <c r="M4">
        <v>2</v>
      </c>
      <c r="N4" t="s">
        <v>93</v>
      </c>
      <c r="O4" t="s">
        <v>58</v>
      </c>
      <c r="P4">
        <v>1</v>
      </c>
      <c r="R4" t="s">
        <v>100</v>
      </c>
      <c r="S4" s="2">
        <v>417098</v>
      </c>
      <c r="T4">
        <f>V4/U4</f>
        <v>1.3880000000000001</v>
      </c>
      <c r="U4">
        <v>5</v>
      </c>
      <c r="V4" s="2">
        <v>6.94</v>
      </c>
      <c r="W4" s="1">
        <f t="shared" ref="W4:W19" si="3">P4*T4</f>
        <v>1.3880000000000001</v>
      </c>
    </row>
    <row r="5" spans="1:23" x14ac:dyDescent="0.25">
      <c r="A5">
        <v>3</v>
      </c>
      <c r="B5" t="s">
        <v>61</v>
      </c>
      <c r="C5" t="s">
        <v>62</v>
      </c>
      <c r="D5">
        <v>1</v>
      </c>
      <c r="F5" t="s">
        <v>101</v>
      </c>
      <c r="G5" t="s">
        <v>102</v>
      </c>
      <c r="H5" s="3">
        <f t="shared" ref="H5:H6" si="4">J5/I5</f>
        <v>4.996666666666667</v>
      </c>
      <c r="I5">
        <v>3</v>
      </c>
      <c r="J5">
        <v>14.99</v>
      </c>
      <c r="K5" s="1">
        <f t="shared" si="2"/>
        <v>4.996666666666667</v>
      </c>
      <c r="M5">
        <v>3</v>
      </c>
      <c r="N5" t="s">
        <v>61</v>
      </c>
      <c r="O5" t="s">
        <v>62</v>
      </c>
      <c r="P5">
        <v>2</v>
      </c>
      <c r="R5" t="s">
        <v>101</v>
      </c>
      <c r="S5" t="s">
        <v>102</v>
      </c>
      <c r="T5">
        <f t="shared" ref="T5:T17" si="5">V5/U5</f>
        <v>4.996666666666667</v>
      </c>
      <c r="U5">
        <v>3</v>
      </c>
      <c r="V5">
        <v>14.99</v>
      </c>
      <c r="W5" s="1">
        <f t="shared" si="3"/>
        <v>9.9933333333333341</v>
      </c>
    </row>
    <row r="6" spans="1:23" x14ac:dyDescent="0.25">
      <c r="A6">
        <v>4</v>
      </c>
      <c r="B6" t="s">
        <v>64</v>
      </c>
      <c r="C6" t="s">
        <v>65</v>
      </c>
      <c r="D6">
        <v>1</v>
      </c>
      <c r="F6" t="s">
        <v>101</v>
      </c>
      <c r="G6" t="s">
        <v>103</v>
      </c>
      <c r="H6" s="3">
        <f t="shared" si="4"/>
        <v>3.5979999999999999</v>
      </c>
      <c r="I6">
        <v>5</v>
      </c>
      <c r="J6">
        <v>17.989999999999998</v>
      </c>
      <c r="K6" s="1">
        <f t="shared" si="2"/>
        <v>3.5979999999999999</v>
      </c>
      <c r="M6">
        <v>4</v>
      </c>
      <c r="N6" t="s">
        <v>64</v>
      </c>
      <c r="O6" t="s">
        <v>65</v>
      </c>
      <c r="P6">
        <v>1</v>
      </c>
      <c r="R6" t="s">
        <v>101</v>
      </c>
      <c r="S6" t="s">
        <v>103</v>
      </c>
      <c r="T6">
        <f t="shared" si="5"/>
        <v>3.5979999999999999</v>
      </c>
      <c r="U6">
        <v>5</v>
      </c>
      <c r="V6">
        <v>17.989999999999998</v>
      </c>
      <c r="W6" s="1">
        <f t="shared" si="3"/>
        <v>3.5979999999999999</v>
      </c>
    </row>
    <row r="7" spans="1:23" x14ac:dyDescent="0.25">
      <c r="A7">
        <v>5</v>
      </c>
      <c r="B7" t="s">
        <v>105</v>
      </c>
      <c r="C7" t="s">
        <v>95</v>
      </c>
      <c r="D7">
        <v>23</v>
      </c>
      <c r="F7" t="s">
        <v>106</v>
      </c>
      <c r="H7" s="3">
        <f t="shared" ref="H7:H16" si="6">J7/I7</f>
        <v>5.6187500000000005E-3</v>
      </c>
      <c r="I7">
        <f>40*40</f>
        <v>1600</v>
      </c>
      <c r="J7">
        <v>8.99</v>
      </c>
      <c r="K7" s="1">
        <f t="shared" ref="K7:K21" si="7">D7*H7</f>
        <v>0.12923125000000002</v>
      </c>
      <c r="M7">
        <v>5</v>
      </c>
      <c r="N7" t="s">
        <v>66</v>
      </c>
      <c r="O7" t="s">
        <v>67</v>
      </c>
      <c r="P7">
        <v>2</v>
      </c>
      <c r="Q7" t="s">
        <v>66</v>
      </c>
      <c r="R7" t="s">
        <v>101</v>
      </c>
      <c r="S7" t="s">
        <v>104</v>
      </c>
      <c r="T7">
        <f t="shared" si="5"/>
        <v>0.4788</v>
      </c>
      <c r="U7">
        <v>25</v>
      </c>
      <c r="V7">
        <v>11.97</v>
      </c>
      <c r="W7" s="1">
        <f t="shared" si="3"/>
        <v>0.95760000000000001</v>
      </c>
    </row>
    <row r="8" spans="1:23" x14ac:dyDescent="0.25">
      <c r="A8">
        <v>6</v>
      </c>
      <c r="B8" t="s">
        <v>107</v>
      </c>
      <c r="D8">
        <v>45</v>
      </c>
      <c r="F8" t="s">
        <v>106</v>
      </c>
      <c r="H8" s="3">
        <f t="shared" si="6"/>
        <v>5.6187500000000005E-3</v>
      </c>
      <c r="I8">
        <f>40*40</f>
        <v>1600</v>
      </c>
      <c r="J8">
        <v>8.99</v>
      </c>
      <c r="K8" s="1">
        <f t="shared" si="7"/>
        <v>0.25284375000000003</v>
      </c>
      <c r="M8">
        <v>6</v>
      </c>
      <c r="N8" t="s">
        <v>105</v>
      </c>
      <c r="O8" t="s">
        <v>95</v>
      </c>
      <c r="P8">
        <v>33</v>
      </c>
      <c r="R8" t="s">
        <v>106</v>
      </c>
      <c r="T8">
        <f t="shared" si="5"/>
        <v>5.6187500000000005E-3</v>
      </c>
      <c r="U8">
        <f>40*40</f>
        <v>1600</v>
      </c>
      <c r="V8">
        <v>8.99</v>
      </c>
      <c r="W8" s="1">
        <f t="shared" si="3"/>
        <v>0.18541875000000002</v>
      </c>
    </row>
    <row r="9" spans="1:23" x14ac:dyDescent="0.25">
      <c r="A9">
        <v>7</v>
      </c>
      <c r="B9" t="s">
        <v>78</v>
      </c>
      <c r="C9" t="s">
        <v>18</v>
      </c>
      <c r="D9">
        <v>1</v>
      </c>
      <c r="E9" t="s">
        <v>78</v>
      </c>
      <c r="H9" s="3">
        <f t="shared" si="6"/>
        <v>7.9899999999999999E-2</v>
      </c>
      <c r="I9">
        <v>100</v>
      </c>
      <c r="J9">
        <v>7.99</v>
      </c>
      <c r="K9" s="1">
        <f t="shared" si="7"/>
        <v>7.9899999999999999E-2</v>
      </c>
      <c r="M9">
        <v>7</v>
      </c>
      <c r="N9" t="s">
        <v>107</v>
      </c>
      <c r="P9">
        <v>45</v>
      </c>
      <c r="R9" t="s">
        <v>106</v>
      </c>
      <c r="T9">
        <f t="shared" si="5"/>
        <v>5.6187500000000005E-3</v>
      </c>
      <c r="U9">
        <f>40*40</f>
        <v>1600</v>
      </c>
      <c r="V9">
        <v>8.99</v>
      </c>
      <c r="W9" s="1">
        <f t="shared" si="3"/>
        <v>0.25284375000000003</v>
      </c>
    </row>
    <row r="10" spans="1:23" x14ac:dyDescent="0.25">
      <c r="A10">
        <v>8</v>
      </c>
      <c r="B10" t="s">
        <v>81</v>
      </c>
      <c r="C10" t="s">
        <v>82</v>
      </c>
      <c r="D10">
        <v>1</v>
      </c>
      <c r="H10" s="3">
        <f t="shared" si="6"/>
        <v>4.1259999999999998E-2</v>
      </c>
      <c r="I10">
        <v>500</v>
      </c>
      <c r="J10">
        <v>20.63</v>
      </c>
      <c r="K10" s="1">
        <f t="shared" si="7"/>
        <v>4.1259999999999998E-2</v>
      </c>
      <c r="M10">
        <v>8</v>
      </c>
      <c r="N10" t="s">
        <v>78</v>
      </c>
      <c r="O10" t="s">
        <v>18</v>
      </c>
      <c r="P10">
        <v>1</v>
      </c>
      <c r="Q10" t="s">
        <v>78</v>
      </c>
      <c r="T10">
        <f t="shared" si="5"/>
        <v>7.9899999999999999E-2</v>
      </c>
      <c r="U10">
        <v>100</v>
      </c>
      <c r="V10">
        <v>7.99</v>
      </c>
      <c r="W10" s="1">
        <f t="shared" si="3"/>
        <v>7.9899999999999999E-2</v>
      </c>
    </row>
    <row r="11" spans="1:23" x14ac:dyDescent="0.25">
      <c r="A11">
        <v>9</v>
      </c>
      <c r="B11" t="s">
        <v>83</v>
      </c>
      <c r="C11" t="s">
        <v>84</v>
      </c>
      <c r="D11">
        <v>1</v>
      </c>
      <c r="H11" s="3">
        <f t="shared" si="6"/>
        <v>4.1259999999999998E-2</v>
      </c>
      <c r="I11">
        <v>500</v>
      </c>
      <c r="J11">
        <v>20.63</v>
      </c>
      <c r="K11" s="1">
        <f t="shared" si="7"/>
        <v>4.1259999999999998E-2</v>
      </c>
      <c r="M11">
        <v>9</v>
      </c>
      <c r="N11" t="s">
        <v>81</v>
      </c>
      <c r="O11" t="s">
        <v>82</v>
      </c>
      <c r="P11">
        <v>2</v>
      </c>
      <c r="T11">
        <f t="shared" si="5"/>
        <v>4.1259999999999998E-2</v>
      </c>
      <c r="U11">
        <v>500</v>
      </c>
      <c r="V11">
        <v>20.63</v>
      </c>
      <c r="W11" s="1">
        <f t="shared" si="3"/>
        <v>8.2519999999999996E-2</v>
      </c>
    </row>
    <row r="12" spans="1:23" x14ac:dyDescent="0.25">
      <c r="A12">
        <v>10</v>
      </c>
      <c r="B12" t="s">
        <v>85</v>
      </c>
      <c r="C12" t="s">
        <v>86</v>
      </c>
      <c r="D12">
        <v>13</v>
      </c>
      <c r="E12" t="s">
        <v>87</v>
      </c>
      <c r="F12" t="s">
        <v>100</v>
      </c>
      <c r="G12" s="2">
        <v>1788406</v>
      </c>
      <c r="H12" s="3">
        <f t="shared" si="6"/>
        <v>2.0799999999999999E-2</v>
      </c>
      <c r="I12">
        <v>100</v>
      </c>
      <c r="J12">
        <v>2.08</v>
      </c>
      <c r="K12" s="1">
        <f t="shared" si="7"/>
        <v>0.27039999999999997</v>
      </c>
      <c r="M12">
        <v>10</v>
      </c>
      <c r="N12" t="s">
        <v>83</v>
      </c>
      <c r="O12" t="s">
        <v>84</v>
      </c>
      <c r="P12">
        <v>2</v>
      </c>
      <c r="T12">
        <f t="shared" si="5"/>
        <v>4.1259999999999998E-2</v>
      </c>
      <c r="U12">
        <v>500</v>
      </c>
      <c r="V12">
        <v>20.63</v>
      </c>
      <c r="W12" s="1">
        <f t="shared" si="3"/>
        <v>8.2519999999999996E-2</v>
      </c>
    </row>
    <row r="13" spans="1:23" x14ac:dyDescent="0.25">
      <c r="A13">
        <v>11</v>
      </c>
      <c r="B13" t="s">
        <v>17</v>
      </c>
      <c r="C13" t="s">
        <v>90</v>
      </c>
      <c r="D13">
        <v>1</v>
      </c>
      <c r="F13" t="s">
        <v>101</v>
      </c>
      <c r="G13" t="s">
        <v>108</v>
      </c>
      <c r="H13" s="3">
        <f t="shared" si="6"/>
        <v>1.099</v>
      </c>
      <c r="I13">
        <v>10</v>
      </c>
      <c r="J13">
        <v>10.99</v>
      </c>
      <c r="K13" s="1">
        <f t="shared" si="7"/>
        <v>1.099</v>
      </c>
      <c r="M13">
        <v>11</v>
      </c>
      <c r="N13" t="s">
        <v>85</v>
      </c>
      <c r="O13" t="s">
        <v>86</v>
      </c>
      <c r="P13">
        <v>30</v>
      </c>
      <c r="Q13" t="s">
        <v>87</v>
      </c>
      <c r="R13" t="s">
        <v>100</v>
      </c>
      <c r="S13" s="2">
        <v>1788406</v>
      </c>
      <c r="T13">
        <f t="shared" si="5"/>
        <v>2.0799999999999999E-2</v>
      </c>
      <c r="U13">
        <v>100</v>
      </c>
      <c r="V13">
        <v>2.08</v>
      </c>
      <c r="W13" s="1">
        <f t="shared" si="3"/>
        <v>0.624</v>
      </c>
    </row>
    <row r="14" spans="1:23" x14ac:dyDescent="0.25">
      <c r="A14">
        <v>12</v>
      </c>
      <c r="B14" t="s">
        <v>91</v>
      </c>
      <c r="C14" t="s">
        <v>92</v>
      </c>
      <c r="D14">
        <v>1</v>
      </c>
      <c r="F14" t="s">
        <v>101</v>
      </c>
      <c r="G14" t="s">
        <v>109</v>
      </c>
      <c r="H14" s="3">
        <f t="shared" si="6"/>
        <v>3.3840000000000003</v>
      </c>
      <c r="I14">
        <v>5</v>
      </c>
      <c r="J14">
        <v>16.920000000000002</v>
      </c>
      <c r="K14" s="1">
        <f t="shared" si="7"/>
        <v>3.3840000000000003</v>
      </c>
      <c r="M14">
        <v>12</v>
      </c>
      <c r="N14" t="s">
        <v>17</v>
      </c>
      <c r="O14" t="s">
        <v>90</v>
      </c>
      <c r="P14">
        <v>1</v>
      </c>
      <c r="R14" t="s">
        <v>101</v>
      </c>
      <c r="S14" t="s">
        <v>108</v>
      </c>
      <c r="T14">
        <f t="shared" si="5"/>
        <v>1.099</v>
      </c>
      <c r="U14">
        <v>10</v>
      </c>
      <c r="V14">
        <v>10.99</v>
      </c>
      <c r="W14" s="1">
        <f t="shared" si="3"/>
        <v>1.099</v>
      </c>
    </row>
    <row r="15" spans="1:23" x14ac:dyDescent="0.25">
      <c r="A15">
        <v>13</v>
      </c>
      <c r="B15" t="s">
        <v>110</v>
      </c>
      <c r="D15">
        <v>1</v>
      </c>
      <c r="F15" t="s">
        <v>101</v>
      </c>
      <c r="G15" t="s">
        <v>111</v>
      </c>
      <c r="H15" s="3">
        <f t="shared" si="6"/>
        <v>0.25685714285714284</v>
      </c>
      <c r="I15">
        <v>35</v>
      </c>
      <c r="J15">
        <v>8.99</v>
      </c>
      <c r="K15" s="1">
        <f t="shared" si="7"/>
        <v>0.25685714285714284</v>
      </c>
      <c r="M15">
        <v>13</v>
      </c>
      <c r="N15" t="s">
        <v>91</v>
      </c>
      <c r="O15" t="s">
        <v>92</v>
      </c>
      <c r="P15">
        <v>1</v>
      </c>
      <c r="R15" t="s">
        <v>101</v>
      </c>
      <c r="S15" t="s">
        <v>109</v>
      </c>
      <c r="T15">
        <f t="shared" si="5"/>
        <v>3.3840000000000003</v>
      </c>
      <c r="U15">
        <v>5</v>
      </c>
      <c r="V15">
        <v>16.920000000000002</v>
      </c>
      <c r="W15" s="1">
        <f t="shared" si="3"/>
        <v>3.3840000000000003</v>
      </c>
    </row>
    <row r="16" spans="1:23" x14ac:dyDescent="0.25">
      <c r="A16">
        <v>14</v>
      </c>
      <c r="B16" t="s">
        <v>112</v>
      </c>
      <c r="D16">
        <v>1</v>
      </c>
      <c r="F16" t="s">
        <v>101</v>
      </c>
      <c r="G16" t="s">
        <v>113</v>
      </c>
      <c r="H16" s="3">
        <f t="shared" si="6"/>
        <v>15.99</v>
      </c>
      <c r="I16">
        <v>1</v>
      </c>
      <c r="J16">
        <v>15.99</v>
      </c>
      <c r="K16" s="1">
        <f t="shared" si="7"/>
        <v>15.99</v>
      </c>
      <c r="M16">
        <v>14</v>
      </c>
      <c r="N16" t="s">
        <v>110</v>
      </c>
      <c r="P16">
        <v>2</v>
      </c>
      <c r="R16" t="s">
        <v>101</v>
      </c>
      <c r="S16" t="s">
        <v>111</v>
      </c>
      <c r="T16">
        <f t="shared" si="5"/>
        <v>0.25685714285714284</v>
      </c>
      <c r="U16">
        <v>35</v>
      </c>
      <c r="V16">
        <v>8.99</v>
      </c>
      <c r="W16" s="1">
        <f t="shared" si="3"/>
        <v>0.51371428571428568</v>
      </c>
    </row>
    <row r="17" spans="1:23" x14ac:dyDescent="0.25">
      <c r="A17">
        <v>15</v>
      </c>
      <c r="B17" t="s">
        <v>115</v>
      </c>
      <c r="D17">
        <v>1</v>
      </c>
      <c r="F17" t="s">
        <v>116</v>
      </c>
      <c r="H17" s="3">
        <v>2.6</v>
      </c>
      <c r="K17" s="1">
        <f t="shared" si="7"/>
        <v>2.6</v>
      </c>
      <c r="M17">
        <v>15</v>
      </c>
      <c r="N17" t="s">
        <v>112</v>
      </c>
      <c r="P17">
        <v>2</v>
      </c>
      <c r="R17" t="s">
        <v>101</v>
      </c>
      <c r="S17" t="s">
        <v>113</v>
      </c>
      <c r="T17">
        <f t="shared" si="5"/>
        <v>15.99</v>
      </c>
      <c r="U17">
        <v>1</v>
      </c>
      <c r="V17">
        <v>15.99</v>
      </c>
      <c r="W17" s="1">
        <f t="shared" si="3"/>
        <v>31.98</v>
      </c>
    </row>
    <row r="18" spans="1:23" x14ac:dyDescent="0.25">
      <c r="A18">
        <v>16</v>
      </c>
      <c r="B18" t="s">
        <v>15</v>
      </c>
      <c r="D18">
        <v>1</v>
      </c>
      <c r="H18" s="3">
        <v>15</v>
      </c>
      <c r="K18" s="1">
        <f t="shared" si="7"/>
        <v>15</v>
      </c>
      <c r="M18">
        <v>16</v>
      </c>
      <c r="N18" t="s">
        <v>32</v>
      </c>
      <c r="P18">
        <v>1</v>
      </c>
      <c r="R18" t="s">
        <v>116</v>
      </c>
      <c r="T18">
        <v>2.6</v>
      </c>
      <c r="W18" s="1">
        <f t="shared" si="3"/>
        <v>2.6</v>
      </c>
    </row>
    <row r="19" spans="1:23" x14ac:dyDescent="0.25">
      <c r="A19">
        <v>17</v>
      </c>
      <c r="B19" t="s">
        <v>19</v>
      </c>
      <c r="D19">
        <v>1</v>
      </c>
      <c r="H19" s="3">
        <v>5</v>
      </c>
      <c r="K19" s="1">
        <f t="shared" si="7"/>
        <v>5</v>
      </c>
      <c r="M19">
        <v>17</v>
      </c>
      <c r="N19" t="s">
        <v>122</v>
      </c>
      <c r="P19">
        <v>1</v>
      </c>
      <c r="T19">
        <v>1.5</v>
      </c>
      <c r="W19" s="1">
        <f t="shared" si="3"/>
        <v>1.5</v>
      </c>
    </row>
    <row r="20" spans="1:23" x14ac:dyDescent="0.25">
      <c r="A20">
        <v>18</v>
      </c>
      <c r="B20" t="s">
        <v>114</v>
      </c>
      <c r="D20">
        <v>15</v>
      </c>
      <c r="H20" s="3">
        <v>1</v>
      </c>
      <c r="K20" s="1">
        <f t="shared" si="7"/>
        <v>15</v>
      </c>
      <c r="M20">
        <v>18</v>
      </c>
      <c r="N20" t="s">
        <v>15</v>
      </c>
      <c r="P20">
        <v>2</v>
      </c>
      <c r="T20">
        <v>15</v>
      </c>
      <c r="W20" s="1">
        <f>P20*T20</f>
        <v>30</v>
      </c>
    </row>
    <row r="21" spans="1:23" x14ac:dyDescent="0.25">
      <c r="A21">
        <v>19</v>
      </c>
      <c r="B21" t="s">
        <v>118</v>
      </c>
      <c r="D21">
        <v>2400</v>
      </c>
      <c r="H21" s="3">
        <f t="shared" ref="H21" si="8">J21/I21</f>
        <v>2.7041666666666668E-3</v>
      </c>
      <c r="I21">
        <v>2400</v>
      </c>
      <c r="J21">
        <v>6.49</v>
      </c>
      <c r="K21" s="1">
        <f t="shared" si="7"/>
        <v>6.49</v>
      </c>
      <c r="M21">
        <v>19</v>
      </c>
      <c r="N21" t="s">
        <v>19</v>
      </c>
      <c r="P21">
        <v>2</v>
      </c>
      <c r="T21">
        <v>5</v>
      </c>
      <c r="W21" s="1">
        <f>P21*T21</f>
        <v>10</v>
      </c>
    </row>
    <row r="22" spans="1:23" x14ac:dyDescent="0.25">
      <c r="A22">
        <v>20</v>
      </c>
      <c r="B22" t="s">
        <v>20</v>
      </c>
      <c r="D22">
        <v>14</v>
      </c>
      <c r="H22" s="3">
        <v>15</v>
      </c>
      <c r="K22" s="1">
        <f t="shared" ref="K22:K24" si="9">D22*H22</f>
        <v>210</v>
      </c>
      <c r="M22">
        <v>20</v>
      </c>
      <c r="N22" t="s">
        <v>114</v>
      </c>
      <c r="P22">
        <v>30</v>
      </c>
      <c r="T22">
        <v>1</v>
      </c>
      <c r="W22" s="1">
        <f>P22*T22</f>
        <v>30</v>
      </c>
    </row>
    <row r="23" spans="1:23" x14ac:dyDescent="0.25">
      <c r="A23">
        <v>21</v>
      </c>
      <c r="B23" t="s">
        <v>23</v>
      </c>
      <c r="D23">
        <v>1</v>
      </c>
      <c r="H23" s="3">
        <v>50</v>
      </c>
      <c r="K23" s="1">
        <f t="shared" si="9"/>
        <v>50</v>
      </c>
      <c r="M23">
        <v>21</v>
      </c>
      <c r="N23" t="s">
        <v>118</v>
      </c>
      <c r="P23">
        <v>5000</v>
      </c>
      <c r="T23">
        <f t="shared" ref="T23" si="10">V23/U23</f>
        <v>1.498E-3</v>
      </c>
      <c r="U23">
        <v>5000</v>
      </c>
      <c r="V23">
        <v>7.49</v>
      </c>
      <c r="W23" s="1">
        <f>P23*T23</f>
        <v>7.49</v>
      </c>
    </row>
    <row r="24" spans="1:23" x14ac:dyDescent="0.25">
      <c r="A24">
        <v>22</v>
      </c>
      <c r="B24" t="s">
        <v>117</v>
      </c>
      <c r="D24">
        <v>1</v>
      </c>
      <c r="H24" s="3">
        <v>50</v>
      </c>
      <c r="K24" s="1">
        <f t="shared" si="9"/>
        <v>50</v>
      </c>
      <c r="M24">
        <v>22</v>
      </c>
      <c r="N24" t="s">
        <v>20</v>
      </c>
      <c r="P24">
        <v>16</v>
      </c>
      <c r="T24">
        <v>15</v>
      </c>
      <c r="W24" s="1">
        <f t="shared" ref="W24:W26" si="11">P24*T24</f>
        <v>240</v>
      </c>
    </row>
    <row r="25" spans="1:23" x14ac:dyDescent="0.25">
      <c r="A25">
        <v>23</v>
      </c>
      <c r="B25" t="s">
        <v>119</v>
      </c>
      <c r="D25">
        <v>1</v>
      </c>
      <c r="F25" t="s">
        <v>120</v>
      </c>
      <c r="H25" s="3">
        <v>15</v>
      </c>
      <c r="K25" s="1">
        <f>D25*H25</f>
        <v>15</v>
      </c>
      <c r="M25">
        <v>23</v>
      </c>
      <c r="N25" t="s">
        <v>23</v>
      </c>
      <c r="P25">
        <v>1</v>
      </c>
      <c r="T25">
        <v>50</v>
      </c>
      <c r="W25" s="1">
        <f t="shared" si="11"/>
        <v>50</v>
      </c>
    </row>
    <row r="26" spans="1:23" x14ac:dyDescent="0.25">
      <c r="A26">
        <v>24</v>
      </c>
      <c r="B26" t="s">
        <v>123</v>
      </c>
      <c r="D26">
        <v>1</v>
      </c>
      <c r="H26" s="3">
        <f t="shared" ref="H26:H27" si="12">J26/I26</f>
        <v>12</v>
      </c>
      <c r="I26">
        <v>1</v>
      </c>
      <c r="J26">
        <v>12</v>
      </c>
      <c r="K26" s="1">
        <f>D26*H26</f>
        <v>12</v>
      </c>
      <c r="M26">
        <v>24</v>
      </c>
      <c r="N26" t="s">
        <v>117</v>
      </c>
      <c r="P26">
        <v>1</v>
      </c>
      <c r="T26">
        <v>50</v>
      </c>
      <c r="W26" s="1">
        <f t="shared" si="11"/>
        <v>50</v>
      </c>
    </row>
    <row r="27" spans="1:23" x14ac:dyDescent="0.25">
      <c r="A27">
        <v>25</v>
      </c>
      <c r="B27" t="s">
        <v>125</v>
      </c>
      <c r="D27">
        <v>1</v>
      </c>
      <c r="G27" t="s">
        <v>126</v>
      </c>
      <c r="H27" s="3">
        <f t="shared" si="12"/>
        <v>2.3316666666666666</v>
      </c>
      <c r="I27">
        <v>6</v>
      </c>
      <c r="J27">
        <v>13.99</v>
      </c>
      <c r="K27" s="1">
        <f>D27*H27</f>
        <v>2.3316666666666666</v>
      </c>
      <c r="M27">
        <v>25</v>
      </c>
      <c r="N27" t="s">
        <v>119</v>
      </c>
      <c r="P27">
        <v>1</v>
      </c>
      <c r="R27" t="s">
        <v>120</v>
      </c>
      <c r="T27">
        <v>15</v>
      </c>
      <c r="W27" s="1">
        <f t="shared" ref="W27:W28" si="13">P27*T27</f>
        <v>15</v>
      </c>
    </row>
    <row r="28" spans="1:23" x14ac:dyDescent="0.25">
      <c r="M28">
        <v>26</v>
      </c>
      <c r="N28" t="s">
        <v>124</v>
      </c>
      <c r="P28">
        <v>2</v>
      </c>
      <c r="T28">
        <f t="shared" ref="T28" si="14">V28/U28</f>
        <v>12</v>
      </c>
      <c r="U28">
        <v>1</v>
      </c>
      <c r="V28">
        <v>12</v>
      </c>
      <c r="W28" s="1">
        <f t="shared" si="13"/>
        <v>24</v>
      </c>
    </row>
    <row r="29" spans="1:23" x14ac:dyDescent="0.25">
      <c r="M29">
        <v>27</v>
      </c>
      <c r="N29" t="s">
        <v>125</v>
      </c>
      <c r="P29">
        <v>2</v>
      </c>
      <c r="S29" t="s">
        <v>126</v>
      </c>
      <c r="T29" s="3">
        <f t="shared" ref="T29" si="15">V29/U29</f>
        <v>2.3316666666666666</v>
      </c>
      <c r="U29">
        <v>6</v>
      </c>
      <c r="V29">
        <v>13.99</v>
      </c>
      <c r="W29" s="1">
        <f t="shared" ref="W29" si="16">P29*T29</f>
        <v>4.6633333333333331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6660C-35DB-4359-AAC0-5AF39262C757}">
  <dimension ref="A1:I17"/>
  <sheetViews>
    <sheetView workbookViewId="0">
      <selection activeCell="C30" sqref="C30"/>
    </sheetView>
  </sheetViews>
  <sheetFormatPr baseColWidth="10" defaultRowHeight="15" x14ac:dyDescent="0.25"/>
  <cols>
    <col min="2" max="2" width="32.7109375" bestFit="1" customWidth="1"/>
    <col min="3" max="3" width="51.28515625" bestFit="1" customWidth="1"/>
    <col min="5" max="5" width="18" bestFit="1" customWidth="1"/>
    <col min="6" max="6" width="24" bestFit="1" customWidth="1"/>
  </cols>
  <sheetData>
    <row r="1" spans="1:9" x14ac:dyDescent="0.25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t="s">
        <v>42</v>
      </c>
      <c r="I1" t="s">
        <v>43</v>
      </c>
    </row>
    <row r="2" spans="1:9" x14ac:dyDescent="0.25">
      <c r="A2">
        <v>1</v>
      </c>
      <c r="B2" t="s">
        <v>44</v>
      </c>
      <c r="C2" t="s">
        <v>45</v>
      </c>
      <c r="D2">
        <v>1</v>
      </c>
      <c r="E2" t="s">
        <v>44</v>
      </c>
      <c r="F2" t="s">
        <v>46</v>
      </c>
      <c r="G2" t="s">
        <v>47</v>
      </c>
      <c r="H2" t="s">
        <v>48</v>
      </c>
    </row>
    <row r="3" spans="1:9" x14ac:dyDescent="0.25">
      <c r="A3">
        <v>2</v>
      </c>
      <c r="B3" t="s">
        <v>49</v>
      </c>
      <c r="C3" t="s">
        <v>50</v>
      </c>
      <c r="D3">
        <v>2</v>
      </c>
      <c r="E3" t="s">
        <v>51</v>
      </c>
      <c r="F3" t="s">
        <v>52</v>
      </c>
      <c r="G3" t="s">
        <v>47</v>
      </c>
      <c r="H3" t="s">
        <v>53</v>
      </c>
    </row>
    <row r="4" spans="1:9" x14ac:dyDescent="0.25">
      <c r="A4">
        <v>3</v>
      </c>
      <c r="B4" t="s">
        <v>54</v>
      </c>
      <c r="C4" t="s">
        <v>55</v>
      </c>
      <c r="D4">
        <v>1</v>
      </c>
      <c r="E4" t="s">
        <v>54</v>
      </c>
      <c r="F4" t="s">
        <v>56</v>
      </c>
      <c r="G4" t="s">
        <v>47</v>
      </c>
      <c r="H4" t="s">
        <v>57</v>
      </c>
    </row>
    <row r="5" spans="1:9" x14ac:dyDescent="0.25">
      <c r="A5">
        <v>4</v>
      </c>
      <c r="B5" t="s">
        <v>93</v>
      </c>
      <c r="C5" t="s">
        <v>58</v>
      </c>
      <c r="D5">
        <v>1</v>
      </c>
      <c r="E5">
        <v>64600001003</v>
      </c>
      <c r="F5" t="s">
        <v>59</v>
      </c>
      <c r="G5" t="s">
        <v>47</v>
      </c>
      <c r="H5" t="s">
        <v>60</v>
      </c>
    </row>
    <row r="6" spans="1:9" x14ac:dyDescent="0.25">
      <c r="A6">
        <v>5</v>
      </c>
      <c r="B6" t="s">
        <v>61</v>
      </c>
      <c r="C6" t="s">
        <v>62</v>
      </c>
      <c r="D6">
        <v>1</v>
      </c>
      <c r="E6" t="s">
        <v>63</v>
      </c>
    </row>
    <row r="7" spans="1:9" x14ac:dyDescent="0.25">
      <c r="A7">
        <v>6</v>
      </c>
      <c r="B7" t="s">
        <v>64</v>
      </c>
      <c r="C7" t="s">
        <v>65</v>
      </c>
      <c r="D7">
        <v>1</v>
      </c>
    </row>
    <row r="8" spans="1:9" x14ac:dyDescent="0.25">
      <c r="A8">
        <v>7</v>
      </c>
      <c r="B8" t="s">
        <v>66</v>
      </c>
      <c r="C8" t="s">
        <v>67</v>
      </c>
      <c r="D8">
        <v>2</v>
      </c>
      <c r="E8" t="s">
        <v>66</v>
      </c>
      <c r="F8" t="s">
        <v>43</v>
      </c>
      <c r="G8" t="s">
        <v>43</v>
      </c>
      <c r="H8" t="s">
        <v>68</v>
      </c>
      <c r="I8" t="s">
        <v>68</v>
      </c>
    </row>
    <row r="9" spans="1:9" x14ac:dyDescent="0.25">
      <c r="A9">
        <v>8</v>
      </c>
      <c r="B9" t="s">
        <v>69</v>
      </c>
      <c r="C9" t="s">
        <v>70</v>
      </c>
      <c r="D9">
        <v>1</v>
      </c>
      <c r="E9" t="s">
        <v>71</v>
      </c>
      <c r="F9" t="s">
        <v>72</v>
      </c>
      <c r="G9" t="s">
        <v>47</v>
      </c>
      <c r="H9" t="s">
        <v>73</v>
      </c>
    </row>
    <row r="10" spans="1:9" x14ac:dyDescent="0.25">
      <c r="A10">
        <v>9</v>
      </c>
      <c r="B10" t="s">
        <v>74</v>
      </c>
      <c r="C10" t="s">
        <v>95</v>
      </c>
      <c r="D10">
        <v>23</v>
      </c>
      <c r="G10" t="s">
        <v>47</v>
      </c>
      <c r="H10" t="s">
        <v>75</v>
      </c>
    </row>
    <row r="11" spans="1:9" x14ac:dyDescent="0.25">
      <c r="A11">
        <v>11</v>
      </c>
      <c r="B11" t="s">
        <v>76</v>
      </c>
      <c r="C11" t="s">
        <v>77</v>
      </c>
      <c r="D11">
        <v>1</v>
      </c>
    </row>
    <row r="12" spans="1:9" x14ac:dyDescent="0.25">
      <c r="A12">
        <v>12</v>
      </c>
      <c r="B12" t="s">
        <v>78</v>
      </c>
      <c r="C12" t="s">
        <v>18</v>
      </c>
      <c r="D12">
        <v>1</v>
      </c>
      <c r="E12" t="s">
        <v>78</v>
      </c>
      <c r="F12" t="s">
        <v>79</v>
      </c>
      <c r="G12" t="s">
        <v>47</v>
      </c>
      <c r="H12" t="s">
        <v>80</v>
      </c>
    </row>
    <row r="13" spans="1:9" x14ac:dyDescent="0.25">
      <c r="A13">
        <v>13</v>
      </c>
      <c r="B13" t="s">
        <v>81</v>
      </c>
      <c r="C13" t="s">
        <v>82</v>
      </c>
      <c r="D13">
        <v>2</v>
      </c>
    </row>
    <row r="14" spans="1:9" x14ac:dyDescent="0.25">
      <c r="A14">
        <v>14</v>
      </c>
      <c r="B14" t="s">
        <v>83</v>
      </c>
      <c r="C14" t="s">
        <v>84</v>
      </c>
      <c r="D14">
        <v>2</v>
      </c>
    </row>
    <row r="15" spans="1:9" x14ac:dyDescent="0.25">
      <c r="A15">
        <v>16</v>
      </c>
      <c r="B15" t="s">
        <v>85</v>
      </c>
      <c r="C15" t="s">
        <v>94</v>
      </c>
      <c r="D15">
        <v>16</v>
      </c>
      <c r="E15" t="s">
        <v>87</v>
      </c>
      <c r="F15" t="s">
        <v>88</v>
      </c>
      <c r="G15" t="s">
        <v>89</v>
      </c>
      <c r="H15">
        <v>892609</v>
      </c>
    </row>
    <row r="16" spans="1:9" x14ac:dyDescent="0.25">
      <c r="A16">
        <v>18</v>
      </c>
      <c r="B16" t="s">
        <v>17</v>
      </c>
      <c r="C16" t="s">
        <v>90</v>
      </c>
      <c r="D16">
        <v>1</v>
      </c>
    </row>
    <row r="17" spans="1:4" x14ac:dyDescent="0.25">
      <c r="A17">
        <v>19</v>
      </c>
      <c r="B17" t="s">
        <v>91</v>
      </c>
      <c r="C17" t="s">
        <v>92</v>
      </c>
      <c r="D1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55DA5-8572-4BB2-9151-05F50197786A}">
  <dimension ref="A2:K10"/>
  <sheetViews>
    <sheetView workbookViewId="0">
      <selection activeCell="J10" sqref="J10"/>
    </sheetView>
  </sheetViews>
  <sheetFormatPr baseColWidth="10" defaultRowHeight="15" x14ac:dyDescent="0.25"/>
  <sheetData>
    <row r="2" spans="1:11" x14ac:dyDescent="0.25">
      <c r="A2" t="s">
        <v>32</v>
      </c>
      <c r="G2" t="s">
        <v>32</v>
      </c>
    </row>
    <row r="3" spans="1:11" x14ac:dyDescent="0.25">
      <c r="A3" t="s">
        <v>24</v>
      </c>
      <c r="B3" t="s">
        <v>30</v>
      </c>
      <c r="C3" t="s">
        <v>31</v>
      </c>
      <c r="D3" t="s">
        <v>16</v>
      </c>
      <c r="G3" t="s">
        <v>24</v>
      </c>
      <c r="H3" t="s">
        <v>30</v>
      </c>
      <c r="I3" t="s">
        <v>31</v>
      </c>
      <c r="J3" t="s">
        <v>16</v>
      </c>
    </row>
    <row r="4" spans="1:11" x14ac:dyDescent="0.25">
      <c r="A4" t="s">
        <v>25</v>
      </c>
      <c r="B4">
        <v>3</v>
      </c>
      <c r="C4">
        <v>200</v>
      </c>
      <c r="D4">
        <f>B4*C4</f>
        <v>600</v>
      </c>
      <c r="G4" t="s">
        <v>25</v>
      </c>
      <c r="H4">
        <v>6</v>
      </c>
      <c r="I4">
        <v>200</v>
      </c>
      <c r="J4">
        <f>H4*I4</f>
        <v>1200</v>
      </c>
    </row>
    <row r="5" spans="1:11" x14ac:dyDescent="0.25">
      <c r="A5" t="s">
        <v>26</v>
      </c>
      <c r="B5">
        <v>4</v>
      </c>
      <c r="C5">
        <v>100</v>
      </c>
      <c r="D5">
        <f t="shared" ref="D5:D8" si="0">B5*C5</f>
        <v>400</v>
      </c>
      <c r="G5" t="s">
        <v>26</v>
      </c>
      <c r="H5">
        <v>8</v>
      </c>
      <c r="I5">
        <v>100</v>
      </c>
      <c r="J5">
        <f t="shared" ref="J5:J8" si="1">H5*I5</f>
        <v>800</v>
      </c>
    </row>
    <row r="6" spans="1:11" x14ac:dyDescent="0.25">
      <c r="A6" t="s">
        <v>27</v>
      </c>
      <c r="B6">
        <v>2</v>
      </c>
      <c r="C6">
        <v>200</v>
      </c>
      <c r="D6">
        <f t="shared" si="0"/>
        <v>400</v>
      </c>
      <c r="G6" t="s">
        <v>27</v>
      </c>
      <c r="H6">
        <v>4</v>
      </c>
      <c r="I6">
        <v>200</v>
      </c>
      <c r="J6">
        <f t="shared" si="1"/>
        <v>800</v>
      </c>
    </row>
    <row r="7" spans="1:11" x14ac:dyDescent="0.25">
      <c r="A7" t="s">
        <v>28</v>
      </c>
      <c r="B7">
        <v>1</v>
      </c>
      <c r="C7">
        <v>900</v>
      </c>
      <c r="D7">
        <f t="shared" si="0"/>
        <v>900</v>
      </c>
      <c r="G7" t="s">
        <v>28</v>
      </c>
      <c r="H7">
        <v>1</v>
      </c>
      <c r="I7">
        <v>900</v>
      </c>
      <c r="J7">
        <f t="shared" si="1"/>
        <v>900</v>
      </c>
    </row>
    <row r="8" spans="1:11" x14ac:dyDescent="0.25">
      <c r="A8" t="s">
        <v>29</v>
      </c>
      <c r="B8">
        <v>2</v>
      </c>
      <c r="C8">
        <v>200</v>
      </c>
      <c r="D8">
        <f t="shared" si="0"/>
        <v>400</v>
      </c>
      <c r="G8" t="s">
        <v>29</v>
      </c>
      <c r="H8">
        <v>4</v>
      </c>
      <c r="I8">
        <v>200</v>
      </c>
      <c r="J8">
        <f t="shared" si="1"/>
        <v>800</v>
      </c>
    </row>
    <row r="9" spans="1:11" x14ac:dyDescent="0.25">
      <c r="D9">
        <f>SUM(D4:D8)</f>
        <v>2700</v>
      </c>
      <c r="E9" t="s">
        <v>16</v>
      </c>
      <c r="J9">
        <f>SUM(J4:J8)</f>
        <v>4500</v>
      </c>
      <c r="K9" t="s">
        <v>16</v>
      </c>
    </row>
    <row r="10" spans="1:11" x14ac:dyDescent="0.25">
      <c r="A10" t="s">
        <v>33</v>
      </c>
      <c r="B10">
        <v>2</v>
      </c>
      <c r="C10">
        <v>300</v>
      </c>
      <c r="G10" t="s">
        <v>33</v>
      </c>
      <c r="H10">
        <v>4</v>
      </c>
      <c r="I10">
        <v>300</v>
      </c>
      <c r="J10">
        <f>J9+I10*H10</f>
        <v>5700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Calculos Sensores</vt:lpstr>
      <vt:lpstr>Costes</vt:lpstr>
      <vt:lpstr>Hoja2</vt:lpstr>
      <vt:lpstr>Coste 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</dc:creator>
  <cp:lastModifiedBy>Santi</cp:lastModifiedBy>
  <dcterms:created xsi:type="dcterms:W3CDTF">2020-07-05T09:13:27Z</dcterms:created>
  <dcterms:modified xsi:type="dcterms:W3CDTF">2022-03-08T12:09:15Z</dcterms:modified>
</cp:coreProperties>
</file>